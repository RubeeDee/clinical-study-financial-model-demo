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3D9CB018-89BE-44F7-B49A-FE089A997FDF}" xr6:coauthVersionLast="47" xr6:coauthVersionMax="47" xr10:uidLastSave="{00000000-0000-0000-0000-000000000000}"/>
  <bookViews>
    <workbookView xWindow="-120" yWindow="-120" windowWidth="20730" windowHeight="11760" activeTab="1" xr2:uid="{9DADDA42-3AE7-4924-A268-DB09486E67C0}"/>
  </bookViews>
  <sheets>
    <sheet name="Estimated Budget" sheetId="1" r:id="rId1"/>
    <sheet name="Summary 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B12" i="2" s="1"/>
  <c r="G3" i="2"/>
  <c r="G4" i="2"/>
  <c r="G5" i="2"/>
  <c r="G6" i="2"/>
  <c r="G2" i="2"/>
  <c r="E3" i="2"/>
  <c r="E4" i="2"/>
  <c r="E5" i="2"/>
  <c r="E6" i="2"/>
  <c r="E2" i="2"/>
  <c r="C4" i="2"/>
  <c r="D4" i="2" s="1"/>
  <c r="C3" i="2"/>
  <c r="D3" i="2" s="1"/>
  <c r="C5" i="2"/>
  <c r="D5" i="2" s="1"/>
  <c r="C6" i="2"/>
  <c r="D6" i="2" s="1"/>
  <c r="I3" i="2"/>
  <c r="B13" i="2" s="1"/>
  <c r="I4" i="2"/>
  <c r="B14" i="2" s="1"/>
  <c r="I5" i="2"/>
  <c r="B15" i="2" s="1"/>
  <c r="I6" i="2"/>
  <c r="B16" i="2" s="1"/>
  <c r="F3" i="1"/>
  <c r="F2" i="1"/>
  <c r="F21" i="1"/>
  <c r="G21" i="1"/>
  <c r="H21" i="1"/>
  <c r="F20" i="1"/>
  <c r="G20" i="1"/>
  <c r="H20" i="1"/>
  <c r="F19" i="1"/>
  <c r="G19" i="1"/>
  <c r="H19" i="1"/>
  <c r="F18" i="1"/>
  <c r="G18" i="1"/>
  <c r="H18" i="1"/>
  <c r="F17" i="1"/>
  <c r="G17" i="1"/>
  <c r="H17" i="1"/>
  <c r="F16" i="1"/>
  <c r="G16" i="1"/>
  <c r="H16" i="1"/>
  <c r="F15" i="1"/>
  <c r="G15" i="1"/>
  <c r="H15" i="1"/>
  <c r="E15" i="1"/>
  <c r="F14" i="1"/>
  <c r="G14" i="1"/>
  <c r="H14" i="1"/>
  <c r="F13" i="1"/>
  <c r="G13" i="1"/>
  <c r="H13" i="1"/>
  <c r="F12" i="1"/>
  <c r="G12" i="1"/>
  <c r="H12" i="1"/>
  <c r="F11" i="1"/>
  <c r="G11" i="1"/>
  <c r="H11" i="1"/>
  <c r="E21" i="1"/>
  <c r="E20" i="1"/>
  <c r="E19" i="1"/>
  <c r="E18" i="1"/>
  <c r="E17" i="1"/>
  <c r="E16" i="1"/>
  <c r="D16" i="1"/>
  <c r="E14" i="1"/>
  <c r="E13" i="1"/>
  <c r="E12" i="1"/>
  <c r="E22" i="1" s="1"/>
  <c r="E11" i="1"/>
  <c r="D17" i="1"/>
  <c r="D18" i="1"/>
  <c r="D19" i="1"/>
  <c r="D20" i="1"/>
  <c r="D21" i="1"/>
  <c r="D15" i="1"/>
  <c r="D14" i="1"/>
  <c r="D13" i="1"/>
  <c r="D12" i="1"/>
  <c r="D11" i="1"/>
  <c r="D22" i="1"/>
  <c r="B22" i="1"/>
  <c r="C13" i="1"/>
  <c r="C11" i="1"/>
  <c r="F5" i="2" l="1"/>
  <c r="H5" i="2" s="1"/>
  <c r="J5" i="2" s="1"/>
  <c r="K5" i="2" s="1"/>
  <c r="F3" i="2"/>
  <c r="H3" i="2" s="1"/>
  <c r="J3" i="2" s="1"/>
  <c r="K3" i="2" s="1"/>
  <c r="F4" i="2"/>
  <c r="H4" i="2" s="1"/>
  <c r="J4" i="2" s="1"/>
  <c r="K4" i="2" s="1"/>
  <c r="F6" i="2"/>
  <c r="H6" i="2" s="1"/>
  <c r="J6" i="2" s="1"/>
  <c r="K6" i="2" s="1"/>
  <c r="G22" i="1"/>
  <c r="F5" i="1" s="1"/>
  <c r="H22" i="1"/>
  <c r="F6" i="1" s="1"/>
  <c r="F22" i="1"/>
  <c r="F4" i="1" s="1"/>
  <c r="C2" i="2" l="1"/>
  <c r="D2" i="2" s="1"/>
  <c r="F2" i="2" s="1"/>
  <c r="H2" i="2" s="1"/>
  <c r="J2" i="2" s="1"/>
  <c r="K2" i="2" s="1"/>
</calcChain>
</file>

<file path=xl/sharedStrings.xml><?xml version="1.0" encoding="utf-8"?>
<sst xmlns="http://schemas.openxmlformats.org/spreadsheetml/2006/main" count="76" uniqueCount="49">
  <si>
    <t>Strategy</t>
  </si>
  <si>
    <t>Description</t>
  </si>
  <si>
    <t>Total Patients</t>
  </si>
  <si>
    <t>Enrolled</t>
  </si>
  <si>
    <t>Unenrolled</t>
  </si>
  <si>
    <t>Estimated Budget</t>
  </si>
  <si>
    <t>1:2 randomization – 400 patients</t>
  </si>
  <si>
    <t>1:3 randomization – 600 patients</t>
  </si>
  <si>
    <t>1:5 randomization – 1,000 patients</t>
  </si>
  <si>
    <t>1:1 (200)</t>
  </si>
  <si>
    <t>No randomization – 200 patients</t>
  </si>
  <si>
    <t>1:1 (1,000)</t>
  </si>
  <si>
    <t>No randomization – 1,000 patients</t>
  </si>
  <si>
    <t>1:2</t>
  </si>
  <si>
    <t>1:3</t>
  </si>
  <si>
    <t>1:5</t>
  </si>
  <si>
    <t>Line Item</t>
  </si>
  <si>
    <t>Estimated Price</t>
  </si>
  <si>
    <t>Three Visits</t>
  </si>
  <si>
    <t>Laboratory Test</t>
  </si>
  <si>
    <t>Radiologist Payment</t>
  </si>
  <si>
    <t>Payment for Enrolled Patients</t>
  </si>
  <si>
    <t>Payment for Unenrolled Patients</t>
  </si>
  <si>
    <t>Transport for Enrolled Patients</t>
  </si>
  <si>
    <t>Enrollment Milestone (Partial)</t>
  </si>
  <si>
    <t>Enrollment Milestone (Full)</t>
  </si>
  <si>
    <t>Study Close</t>
  </si>
  <si>
    <t>Ultrasound Scan Machine</t>
  </si>
  <si>
    <t>Site Administrators</t>
  </si>
  <si>
    <t>Miscellaneous</t>
  </si>
  <si>
    <t>Total</t>
  </si>
  <si>
    <t>LookUp Table</t>
  </si>
  <si>
    <t>Price Scenario</t>
  </si>
  <si>
    <t>Drug Price</t>
  </si>
  <si>
    <t>Sample Size</t>
  </si>
  <si>
    <t>Attrition</t>
  </si>
  <si>
    <t>High</t>
  </si>
  <si>
    <t>Medium</t>
  </si>
  <si>
    <t>Low</t>
  </si>
  <si>
    <t>Sampling Strategy</t>
  </si>
  <si>
    <t>Eligible Patients</t>
  </si>
  <si>
    <t>Drug Purchase</t>
  </si>
  <si>
    <t>Purchase Period (Months)</t>
  </si>
  <si>
    <t>Total Purchases</t>
  </si>
  <si>
    <t>Cost of Research</t>
  </si>
  <si>
    <t>Net Result</t>
  </si>
  <si>
    <t>Result</t>
  </si>
  <si>
    <t>—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</si>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</sst>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2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5779C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20" fontId="0" fillId="0" borderId="0" xfId="0" quotePrefix="1" applyNumberFormat="1" applyAlignment="1">
      <alignment horizontal="center" vertical="center"/>
    </xf>
    <xf numFmtId="172" fontId="0" fillId="0" borderId="0" xfId="1" applyNumberFormat="1" applyFont="1"/>
    <xf numFmtId="172" fontId="0" fillId="0" borderId="0" xfId="0" applyNumberFormat="1"/>
    <xf numFmtId="3" fontId="0" fillId="2" borderId="0" xfId="0" applyNumberFormat="1" applyFill="1"/>
    <xf numFmtId="0" fontId="0" fillId="2" borderId="0" xfId="0" applyFill="1"/>
    <xf numFmtId="172" fontId="0" fillId="2" borderId="0" xfId="0" applyNumberFormat="1" applyFill="1"/>
    <xf numFmtId="0" fontId="2" fillId="2" borderId="0" xfId="0" applyFont="1" applyFill="1"/>
    <xf numFmtId="20" fontId="2" fillId="0" borderId="1" xfId="0" quotePrefix="1" applyNumberFormat="1" applyFont="1" applyBorder="1" applyAlignment="1">
      <alignment horizontal="left" vertical="center"/>
    </xf>
    <xf numFmtId="20" fontId="2" fillId="3" borderId="1" xfId="0" quotePrefix="1" applyNumberFormat="1" applyFont="1" applyFill="1" applyBorder="1" applyAlignment="1">
      <alignment horizontal="left" vertical="center"/>
    </xf>
    <xf numFmtId="0" fontId="2" fillId="0" borderId="0" xfId="0" quotePrefix="1" applyFont="1" applyAlignment="1">
      <alignment horizontal="left"/>
    </xf>
    <xf numFmtId="172" fontId="0" fillId="2" borderId="0" xfId="1" applyNumberFormat="1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2" fontId="0" fillId="0" borderId="0" xfId="1" applyNumberFormat="1" applyFont="1" applyAlignment="1">
      <alignment horizontal="center"/>
    </xf>
    <xf numFmtId="20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0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72" fontId="0" fillId="0" borderId="0" xfId="1" applyNumberFormat="1" applyFont="1" applyAlignment="1">
      <alignment horizontal="right" vertical="center" wrapText="1"/>
    </xf>
    <xf numFmtId="172" fontId="0" fillId="0" borderId="0" xfId="1" applyNumberFormat="1" applyFont="1" applyAlignment="1">
      <alignment horizontal="left"/>
    </xf>
    <xf numFmtId="172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34">
    <dxf>
      <fill>
        <patternFill>
          <bgColor rgb="FF009900"/>
        </patternFill>
      </fill>
    </dxf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</dxf>
    <dxf>
      <fill>
        <patternFill>
          <bgColor rgb="FF00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  <alignment horizontal="center" vertical="bottom" textRotation="0" wrapText="0" indent="0" justifyLastLine="0" shrinkToFit="0" readingOrder="0"/>
    </dxf>
    <dxf>
      <numFmt numFmtId="172" formatCode="_(* #,##0_);_(* \(#,##0\);_(* &quot;-&quot;??_);_(@_)"/>
    </dxf>
    <dxf>
      <numFmt numFmtId="25" formatCode="h:mm"/>
      <alignment horizontal="center" vertical="bottom" textRotation="0" wrapText="0" indent="0" justifyLastLine="0" shrinkToFit="0" readingOrder="0"/>
    </dxf>
    <dxf>
      <numFmt numFmtId="25" formatCode="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</dxf>
    <dxf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25" formatCode="h:mm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00"/>
      <color rgb="FF577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F2598-15D5-4D46-915E-C1BAFDBF0A57}" name="Table1" displayName="Table1" ref="A1:F6" totalsRowShown="0" headerRowDxfId="33" dataDxfId="32">
  <autoFilter ref="A1:F6" xr:uid="{025F2598-15D5-4D46-915E-C1BAFDBF0A57}"/>
  <tableColumns count="6">
    <tableColumn id="1" xr3:uid="{336FD7E1-1DF1-44A4-8CA7-DC409D55C674}" name="Strategy" dataDxfId="27"/>
    <tableColumn id="2" xr3:uid="{FF5E85E8-E1DE-44CA-B6F0-2A332A37C6C7}" name="Description" dataDxfId="28"/>
    <tableColumn id="3" xr3:uid="{0195D70F-C517-4885-8E05-8B4F83FE8142}" name="Total Patients" dataDxfId="31"/>
    <tableColumn id="4" xr3:uid="{238D3C06-1584-4BC1-94FD-6F32D8D20D1B}" name="Enrolled" dataDxfId="30"/>
    <tableColumn id="5" xr3:uid="{3C816D59-FC85-4374-AA6F-D9449C1FBFB4}" name="Unenrolled" dataDxfId="29"/>
    <tableColumn id="6" xr3:uid="{3C1DA545-3C38-42D9-8FF8-6BDB0FAD1C58}" name="Estimated Bud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051362-68CB-41D1-AE97-80D57D1E7876}" name="Table2" displayName="Table2" ref="A10:H22" totalsRowShown="0" headerRowDxfId="17" dataDxfId="18" dataCellStyle="Comma">
  <autoFilter ref="A10:H22" xr:uid="{9F051362-68CB-41D1-AE97-80D57D1E7876}"/>
  <tableColumns count="8">
    <tableColumn id="1" xr3:uid="{A48FF86F-12EE-41F8-9419-8801B4E56BEC}" name="Line Item" dataDxfId="26"/>
    <tableColumn id="2" xr3:uid="{A3D46261-E800-457B-89EE-244F9B757178}" name="Estimated Price" dataDxfId="25"/>
    <tableColumn id="3" xr3:uid="{005B42C2-4BF5-4E93-B7B1-DE347BEF3E0A}" name="Three Visits" dataDxfId="24"/>
    <tableColumn id="4" xr3:uid="{B56C8842-A944-4883-A93B-3B593A967CB1}" name="1:2" dataDxfId="23" dataCellStyle="Comma"/>
    <tableColumn id="5" xr3:uid="{85D9C30B-FA81-4487-ACD0-FF44FEFD2B6C}" name="1:3" dataDxfId="22" dataCellStyle="Comma"/>
    <tableColumn id="6" xr3:uid="{7D36E115-1A30-4ECC-91DC-18BC44CFACB9}" name="1:5" dataDxfId="21" dataCellStyle="Comma"/>
    <tableColumn id="7" xr3:uid="{D52A2D31-E153-4D17-91CD-C24EE659D84C}" name="1:1 (200)" dataDxfId="20" dataCellStyle="Comma"/>
    <tableColumn id="8" xr3:uid="{E0BF4F57-9E02-4CC7-9688-7B07556C8F83}" name="1:1 (1,000)" dataDxfId="19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636CE-CB3C-4962-95F9-CF8886EB0D94}" name="Table3" displayName="Table3" ref="A11:F16" totalsRowShown="0" headerRowDxfId="11" dataDxfId="12">
  <autoFilter ref="A11:F16" xr:uid="{A6B636CE-CB3C-4962-95F9-CF8886EB0D94}"/>
  <tableColumns count="6">
    <tableColumn id="1" xr3:uid="{E3187087-4F65-4AAF-A6C1-BD9B8231A19E}" name="Strategy" dataDxfId="10"/>
    <tableColumn id="2" xr3:uid="{FEBDBF5C-A95F-4127-AC78-E6C174866145}" name="Cost of Research" dataDxfId="2">
      <calculatedColumnFormula>I2</calculatedColumnFormula>
    </tableColumn>
    <tableColumn id="3" xr3:uid="{68DC633D-7A39-4C42-B3DA-3CBE7B8EA275}" name="Price Scenario" dataDxfId="16"/>
    <tableColumn id="4" xr3:uid="{987D5643-B827-4186-9792-BFDF52F3C337}" name="Drug Price" dataDxfId="15"/>
    <tableColumn id="5" xr3:uid="{44437088-4187-4BBB-86A8-35061F938CEE}" name="Sample Size" dataDxfId="14"/>
    <tableColumn id="6" xr3:uid="{8A481714-C774-419E-A544-991CE5E8A89A}" name="Months" dataDxfId="13">
      <calculatedColumnFormula>#REF!*0.7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DF2074-A4CF-4980-AEB4-C4593FE29980}" name="Table4" displayName="Table4" ref="A1:K6" totalsRowShown="0" headerRowDxfId="6">
  <autoFilter ref="A1:K6" xr:uid="{BADF2074-A4CF-4980-AEB4-C4593FE29980}"/>
  <tableColumns count="11">
    <tableColumn id="1" xr3:uid="{6FE3F348-F703-4EAF-87DE-39D487165AD2}" name="Price Scenario"/>
    <tableColumn id="2" xr3:uid="{3D38D6E8-A0CC-4244-B29C-DC8F5E024D76}" name="Sampling Strategy" dataDxfId="9"/>
    <tableColumn id="3" xr3:uid="{121D28AD-E343-4420-83D1-832D2210A80A}" name="Eligible Patients">
      <calculatedColumnFormula>VLOOKUP(B2,$A$11:$F$16,5,FALSE)</calculatedColumnFormula>
    </tableColumn>
    <tableColumn id="5" xr3:uid="{65298CB8-2983-40A7-96B2-CF4D710766DE}" name="Attrition">
      <calculatedColumnFormula>C2*0.7</calculatedColumnFormula>
    </tableColumn>
    <tableColumn id="6" xr3:uid="{19E5F69D-F299-4370-AC43-51403F938D2C}" name="Drug Price">
      <calculatedColumnFormula>VLOOKUP(A2,$C$12:$D$15,2,FALSE)</calculatedColumnFormula>
    </tableColumn>
    <tableColumn id="7" xr3:uid="{E5D55804-CACB-461C-93E6-C63038933F2B}" name="Drug Purchase" dataDxfId="4" dataCellStyle="Comma">
      <calculatedColumnFormula>E2*D2</calculatedColumnFormula>
    </tableColumn>
    <tableColumn id="8" xr3:uid="{658E97DA-93B7-493A-9FB5-60C4702970E1}" name="Purchase Period (Months)" dataDxfId="5">
      <calculatedColumnFormula>VLOOKUP(A2,C$11:F$16,4,FALSE)</calculatedColumnFormula>
    </tableColumn>
    <tableColumn id="9" xr3:uid="{D99866C9-7647-4588-AF4B-979128A5CD54}" name="Total Purchases" dataDxfId="8">
      <calculatedColumnFormula>F2*G2</calculatedColumnFormula>
    </tableColumn>
    <tableColumn id="10" xr3:uid="{432B9B87-1091-4CB0-B641-FE330E90D7EB}" name="Cost of Research" dataDxfId="7" dataCellStyle="Comma">
      <calculatedColumnFormula>VLOOKUP(A12,'Estimated Budget'!$A$2:$F$6,6,FALSE)</calculatedColumnFormula>
    </tableColumn>
    <tableColumn id="11" xr3:uid="{288D1E1C-AE3A-4829-9C7E-C3A5432166C0}" name="Net Result">
      <calculatedColumnFormula>I2-H2</calculatedColumnFormula>
    </tableColumn>
    <tableColumn id="12" xr3:uid="{EA4145CD-D344-46F1-AE02-E61B044E308D}" name="Result">
      <calculatedColumnFormula>IF(J2&lt;0,"Profit",IF(J2&gt;0,"Loss","Breakeven"))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A7FF-FC66-490C-92D3-2B0F0B6BF313}">
  <dimension ref="A1:H22"/>
  <sheetViews>
    <sheetView workbookViewId="0">
      <selection activeCell="B17" sqref="B17"/>
    </sheetView>
  </sheetViews>
  <sheetFormatPr defaultRowHeight="15" x14ac:dyDescent="0.25"/>
  <cols>
    <col min="1" max="1" width="30.7109375" bestFit="1" customWidth="1"/>
    <col min="2" max="2" width="31.7109375" bestFit="1" customWidth="1"/>
    <col min="3" max="3" width="13.5703125" customWidth="1"/>
    <col min="4" max="5" width="19" bestFit="1" customWidth="1"/>
    <col min="6" max="6" width="16.7109375" bestFit="1" customWidth="1"/>
    <col min="7" max="7" width="11.5703125" bestFit="1" customWidth="1"/>
    <col min="8" max="8" width="12.5703125" bestFit="1" customWidth="1"/>
  </cols>
  <sheetData>
    <row r="1" spans="1:8" x14ac:dyDescent="0.25">
      <c r="A1" s="11" t="s">
        <v>0</v>
      </c>
      <c r="B1" s="12" t="s">
        <v>1</v>
      </c>
      <c r="C1" s="12" t="s">
        <v>2</v>
      </c>
      <c r="D1" s="7" t="s">
        <v>3</v>
      </c>
      <c r="E1" s="7" t="s">
        <v>4</v>
      </c>
      <c r="F1" s="7" t="s">
        <v>5</v>
      </c>
    </row>
    <row r="2" spans="1:8" x14ac:dyDescent="0.25">
      <c r="A2" s="13" t="s">
        <v>13</v>
      </c>
      <c r="B2" s="10" t="s">
        <v>6</v>
      </c>
      <c r="C2" s="4">
        <v>400</v>
      </c>
      <c r="D2" s="4">
        <v>200</v>
      </c>
      <c r="E2" s="4">
        <v>200</v>
      </c>
      <c r="F2" s="15">
        <f>D22</f>
        <v>70800000</v>
      </c>
    </row>
    <row r="3" spans="1:8" x14ac:dyDescent="0.25">
      <c r="A3" s="13" t="s">
        <v>14</v>
      </c>
      <c r="B3" s="10" t="s">
        <v>7</v>
      </c>
      <c r="C3" s="4">
        <v>600</v>
      </c>
      <c r="D3" s="4">
        <v>200</v>
      </c>
      <c r="E3" s="4">
        <v>400</v>
      </c>
      <c r="F3" s="15">
        <f>E22</f>
        <v>73800000</v>
      </c>
    </row>
    <row r="4" spans="1:8" x14ac:dyDescent="0.25">
      <c r="A4" s="13" t="s">
        <v>15</v>
      </c>
      <c r="B4" s="10" t="s">
        <v>8</v>
      </c>
      <c r="C4" s="9">
        <v>1000</v>
      </c>
      <c r="D4" s="4">
        <v>200</v>
      </c>
      <c r="E4" s="4">
        <v>800</v>
      </c>
      <c r="F4" s="15">
        <f>F22</f>
        <v>79800000</v>
      </c>
    </row>
    <row r="5" spans="1:8" x14ac:dyDescent="0.25">
      <c r="A5" s="13" t="s">
        <v>9</v>
      </c>
      <c r="B5" s="3" t="s">
        <v>10</v>
      </c>
      <c r="C5" s="4">
        <v>200</v>
      </c>
      <c r="D5" s="4">
        <v>200</v>
      </c>
      <c r="E5" s="4">
        <v>0</v>
      </c>
      <c r="F5" s="15">
        <f>G22</f>
        <v>67800000</v>
      </c>
    </row>
    <row r="6" spans="1:8" x14ac:dyDescent="0.25">
      <c r="A6" s="13" t="s">
        <v>11</v>
      </c>
      <c r="B6" s="3" t="s">
        <v>12</v>
      </c>
      <c r="C6" s="9">
        <v>1000</v>
      </c>
      <c r="D6" s="9">
        <v>1000</v>
      </c>
      <c r="E6" s="4">
        <v>0</v>
      </c>
      <c r="F6" s="15">
        <f>H22</f>
        <v>187800000</v>
      </c>
    </row>
    <row r="10" spans="1:8" x14ac:dyDescent="0.25">
      <c r="A10" s="1" t="s">
        <v>16</v>
      </c>
      <c r="B10" s="1" t="s">
        <v>17</v>
      </c>
      <c r="C10" s="24" t="s">
        <v>18</v>
      </c>
      <c r="D10" s="22" t="s">
        <v>13</v>
      </c>
      <c r="E10" s="22" t="s">
        <v>14</v>
      </c>
      <c r="F10" s="22" t="s">
        <v>15</v>
      </c>
      <c r="G10" s="20" t="s">
        <v>9</v>
      </c>
      <c r="H10" s="21" t="s">
        <v>11</v>
      </c>
    </row>
    <row r="11" spans="1:8" x14ac:dyDescent="0.25">
      <c r="A11" s="6" t="s">
        <v>19</v>
      </c>
      <c r="B11" s="9">
        <v>20000</v>
      </c>
      <c r="C11" s="9">
        <f>B11*3</f>
        <v>60000</v>
      </c>
      <c r="D11" s="14">
        <f>$C11*INDEX($D$2:$D$6,COLUMNS($D:D))</f>
        <v>12000000</v>
      </c>
      <c r="E11" s="14">
        <f>$C11*INDEX($D$2:$D$6,COLUMNS($D:E))</f>
        <v>12000000</v>
      </c>
      <c r="F11" s="14">
        <f>$C11*INDEX($D$2:$D$6,COLUMNS($D:F))</f>
        <v>12000000</v>
      </c>
      <c r="G11" s="14">
        <f>$C11*INDEX($D$2:$D$6,COLUMNS($D:G))</f>
        <v>12000000</v>
      </c>
      <c r="H11" s="14">
        <f>$C11*INDEX($D$2:$D$6,COLUMNS($D:H))</f>
        <v>60000000</v>
      </c>
    </row>
    <row r="12" spans="1:8" x14ac:dyDescent="0.25">
      <c r="A12" s="6" t="s">
        <v>20</v>
      </c>
      <c r="B12" s="9">
        <v>20000</v>
      </c>
      <c r="C12" s="4"/>
      <c r="D12" s="14">
        <f>$B12*INDEX($D$2:$D$6,COLUMNS($D:D))</f>
        <v>4000000</v>
      </c>
      <c r="E12" s="14">
        <f>$B12*INDEX($D$2:$D$6,COLUMNS($D:E))</f>
        <v>4000000</v>
      </c>
      <c r="F12" s="14">
        <f>$B12*INDEX($D$2:$D$6,COLUMNS($D:F))</f>
        <v>4000000</v>
      </c>
      <c r="G12" s="14">
        <f>$B12*INDEX($D$2:$D$6,COLUMNS($D:G))</f>
        <v>4000000</v>
      </c>
      <c r="H12" s="14">
        <f>$B12*INDEX($D$2:$D$6,COLUMNS($D:H))</f>
        <v>20000000</v>
      </c>
    </row>
    <row r="13" spans="1:8" x14ac:dyDescent="0.25">
      <c r="A13" s="6" t="s">
        <v>21</v>
      </c>
      <c r="B13" s="9">
        <v>20000</v>
      </c>
      <c r="C13" s="9">
        <f>B13*3</f>
        <v>60000</v>
      </c>
      <c r="D13" s="14">
        <f>$C13*INDEX($D$2:$D$6,COLUMNS($D:D))</f>
        <v>12000000</v>
      </c>
      <c r="E13" s="14">
        <f>$C13*INDEX($D$2:$D$6,COLUMNS($D:E))</f>
        <v>12000000</v>
      </c>
      <c r="F13" s="14">
        <f>$C13*INDEX($D$2:$D$6,COLUMNS($D:F))</f>
        <v>12000000</v>
      </c>
      <c r="G13" s="14">
        <f>$C13*INDEX($D$2:$D$6,COLUMNS($D:G))</f>
        <v>12000000</v>
      </c>
      <c r="H13" s="14">
        <f>$C13*INDEX($D$2:$D$6,COLUMNS($D:H))</f>
        <v>60000000</v>
      </c>
    </row>
    <row r="14" spans="1:8" x14ac:dyDescent="0.25">
      <c r="A14" s="6" t="s">
        <v>22</v>
      </c>
      <c r="B14" s="9">
        <v>15000</v>
      </c>
      <c r="C14" s="4"/>
      <c r="D14" s="14">
        <f>$B14*INDEX($E$2:$E$6,COLUMNS($D:D))</f>
        <v>3000000</v>
      </c>
      <c r="E14" s="14">
        <f>$B14*INDEX($E$2:$E$6,COLUMNS($D:E))</f>
        <v>6000000</v>
      </c>
      <c r="F14" s="14">
        <f>$B14*INDEX($E$2:$E$6,COLUMNS($D:F))</f>
        <v>12000000</v>
      </c>
      <c r="G14" s="14">
        <f>$B14*INDEX($E$2:$E$6,COLUMNS($D:G))</f>
        <v>0</v>
      </c>
      <c r="H14" s="14">
        <f>$B14*INDEX($E$2:$E$6,COLUMNS($D:H))</f>
        <v>0</v>
      </c>
    </row>
    <row r="15" spans="1:8" x14ac:dyDescent="0.25">
      <c r="A15" s="6" t="s">
        <v>23</v>
      </c>
      <c r="B15" s="9">
        <v>10000</v>
      </c>
      <c r="C15" s="4"/>
      <c r="D15" s="14">
        <f>$B15*INDEX($D$2:$D$6,COLUMNS($D:D))</f>
        <v>2000000</v>
      </c>
      <c r="E15" s="14">
        <f>$B15*INDEX($D$2:$D$6,COLUMNS($D:E))</f>
        <v>2000000</v>
      </c>
      <c r="F15" s="14">
        <f>$B15*INDEX($D$2:$D$6,COLUMNS($D:F))</f>
        <v>2000000</v>
      </c>
      <c r="G15" s="14">
        <f>$B15*INDEX($D$2:$D$6,COLUMNS($D:G))</f>
        <v>2000000</v>
      </c>
      <c r="H15" s="14">
        <f>$B15*INDEX($D$2:$D$6,COLUMNS($D:H))</f>
        <v>10000000</v>
      </c>
    </row>
    <row r="16" spans="1:8" x14ac:dyDescent="0.25">
      <c r="A16" s="6" t="s">
        <v>24</v>
      </c>
      <c r="B16" s="9">
        <v>3000000</v>
      </c>
      <c r="C16" s="4">
        <v>4</v>
      </c>
      <c r="D16" s="14">
        <f>$B16*$C16</f>
        <v>12000000</v>
      </c>
      <c r="E16" s="14">
        <f>$B16*$C16</f>
        <v>12000000</v>
      </c>
      <c r="F16" s="14">
        <f t="shared" ref="F16:H16" si="0">$B16*$C16</f>
        <v>12000000</v>
      </c>
      <c r="G16" s="14">
        <f t="shared" si="0"/>
        <v>12000000</v>
      </c>
      <c r="H16" s="14">
        <f t="shared" si="0"/>
        <v>12000000</v>
      </c>
    </row>
    <row r="17" spans="1:8" x14ac:dyDescent="0.25">
      <c r="A17" s="6" t="s">
        <v>25</v>
      </c>
      <c r="B17" s="9">
        <v>1500000</v>
      </c>
      <c r="C17" s="4">
        <v>4</v>
      </c>
      <c r="D17" s="14">
        <f t="shared" ref="D17:H21" si="1">$B17*$C17</f>
        <v>6000000</v>
      </c>
      <c r="E17" s="14">
        <f t="shared" si="1"/>
        <v>6000000</v>
      </c>
      <c r="F17" s="14">
        <f t="shared" si="1"/>
        <v>6000000</v>
      </c>
      <c r="G17" s="14">
        <f t="shared" si="1"/>
        <v>6000000</v>
      </c>
      <c r="H17" s="14">
        <f t="shared" si="1"/>
        <v>6000000</v>
      </c>
    </row>
    <row r="18" spans="1:8" x14ac:dyDescent="0.25">
      <c r="A18" s="6" t="s">
        <v>26</v>
      </c>
      <c r="B18" s="9">
        <v>1500000</v>
      </c>
      <c r="C18" s="4">
        <v>4</v>
      </c>
      <c r="D18" s="14">
        <f t="shared" si="1"/>
        <v>6000000</v>
      </c>
      <c r="E18" s="14">
        <f t="shared" si="1"/>
        <v>6000000</v>
      </c>
      <c r="F18" s="14">
        <f t="shared" si="1"/>
        <v>6000000</v>
      </c>
      <c r="G18" s="14">
        <f t="shared" si="1"/>
        <v>6000000</v>
      </c>
      <c r="H18" s="14">
        <f t="shared" si="1"/>
        <v>6000000</v>
      </c>
    </row>
    <row r="19" spans="1:8" x14ac:dyDescent="0.25">
      <c r="A19" s="6" t="s">
        <v>27</v>
      </c>
      <c r="B19" s="9">
        <v>1500000</v>
      </c>
      <c r="C19" s="4">
        <v>4</v>
      </c>
      <c r="D19" s="14">
        <f t="shared" si="1"/>
        <v>6000000</v>
      </c>
      <c r="E19" s="14">
        <f t="shared" si="1"/>
        <v>6000000</v>
      </c>
      <c r="F19" s="14">
        <f t="shared" si="1"/>
        <v>6000000</v>
      </c>
      <c r="G19" s="14">
        <f t="shared" si="1"/>
        <v>6000000</v>
      </c>
      <c r="H19" s="14">
        <f t="shared" si="1"/>
        <v>6000000</v>
      </c>
    </row>
    <row r="20" spans="1:8" x14ac:dyDescent="0.25">
      <c r="A20" s="6" t="s">
        <v>28</v>
      </c>
      <c r="B20" s="9">
        <v>1200000</v>
      </c>
      <c r="C20" s="4">
        <v>4</v>
      </c>
      <c r="D20" s="14">
        <f t="shared" si="1"/>
        <v>4800000</v>
      </c>
      <c r="E20" s="14">
        <f t="shared" si="1"/>
        <v>4800000</v>
      </c>
      <c r="F20" s="14">
        <f t="shared" si="1"/>
        <v>4800000</v>
      </c>
      <c r="G20" s="14">
        <f t="shared" si="1"/>
        <v>4800000</v>
      </c>
      <c r="H20" s="14">
        <f t="shared" si="1"/>
        <v>4800000</v>
      </c>
    </row>
    <row r="21" spans="1:8" x14ac:dyDescent="0.25">
      <c r="A21" s="6" t="s">
        <v>29</v>
      </c>
      <c r="B21" s="9">
        <v>3000000</v>
      </c>
      <c r="C21" s="4">
        <v>1</v>
      </c>
      <c r="D21" s="14">
        <f t="shared" si="1"/>
        <v>3000000</v>
      </c>
      <c r="E21" s="14">
        <f t="shared" si="1"/>
        <v>3000000</v>
      </c>
      <c r="F21" s="14">
        <f t="shared" si="1"/>
        <v>3000000</v>
      </c>
      <c r="G21" s="14">
        <f t="shared" si="1"/>
        <v>3000000</v>
      </c>
      <c r="H21" s="14">
        <f t="shared" si="1"/>
        <v>3000000</v>
      </c>
    </row>
    <row r="22" spans="1:8" x14ac:dyDescent="0.25">
      <c r="A22" s="19" t="s">
        <v>30</v>
      </c>
      <c r="B22" s="16">
        <f>SUM(B11:B21)</f>
        <v>11785000</v>
      </c>
      <c r="C22" s="17"/>
      <c r="D22" s="18">
        <f>SUM(D11:D21)</f>
        <v>70800000</v>
      </c>
      <c r="E22" s="23">
        <f>SUM(E11:E21)</f>
        <v>73800000</v>
      </c>
      <c r="F22" s="18">
        <f>SUM(F11:F21)</f>
        <v>79800000</v>
      </c>
      <c r="G22" s="18">
        <f>SUM(G11:G21)</f>
        <v>67800000</v>
      </c>
      <c r="H22" s="18">
        <f>SUM(H11:H21)</f>
        <v>187800000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1C1B-06E7-46ED-BC08-4F93637150A3}">
  <dimension ref="A1:K16"/>
  <sheetViews>
    <sheetView tabSelected="1" topLeftCell="B1" workbookViewId="0">
      <selection activeCell="F14" sqref="F14"/>
    </sheetView>
  </sheetViews>
  <sheetFormatPr defaultRowHeight="15" x14ac:dyDescent="0.25"/>
  <cols>
    <col min="1" max="1" width="17" bestFit="1" customWidth="1"/>
    <col min="2" max="2" width="19" customWidth="1"/>
    <col min="3" max="3" width="17.42578125" customWidth="1"/>
    <col min="4" max="4" width="16.85546875" customWidth="1"/>
    <col min="5" max="5" width="13.28515625" customWidth="1"/>
    <col min="6" max="6" width="13.85546875" bestFit="1" customWidth="1"/>
    <col min="7" max="7" width="15.7109375" customWidth="1"/>
    <col min="8" max="8" width="26.140625" customWidth="1"/>
    <col min="9" max="9" width="16.85546875" customWidth="1"/>
    <col min="10" max="10" width="17.7109375" customWidth="1"/>
    <col min="11" max="11" width="14.7109375" customWidth="1"/>
    <col min="12" max="12" width="11.140625" bestFit="1" customWidth="1"/>
  </cols>
  <sheetData>
    <row r="1" spans="1:11" s="8" customFormat="1" x14ac:dyDescent="0.25">
      <c r="A1" s="25" t="s">
        <v>32</v>
      </c>
      <c r="B1" s="25" t="s">
        <v>39</v>
      </c>
      <c r="C1" s="7" t="s">
        <v>40</v>
      </c>
      <c r="D1" s="12" t="s">
        <v>35</v>
      </c>
      <c r="E1" s="12" t="s">
        <v>33</v>
      </c>
      <c r="F1" s="7" t="s">
        <v>41</v>
      </c>
      <c r="G1" s="7" t="s">
        <v>42</v>
      </c>
      <c r="H1" s="7" t="s">
        <v>43</v>
      </c>
      <c r="I1" s="7" t="s">
        <v>44</v>
      </c>
      <c r="J1" s="12" t="s">
        <v>45</v>
      </c>
      <c r="K1" s="25" t="s">
        <v>46</v>
      </c>
    </row>
    <row r="2" spans="1:11" x14ac:dyDescent="0.25">
      <c r="A2" t="s">
        <v>36</v>
      </c>
      <c r="B2" s="28" t="s">
        <v>13</v>
      </c>
      <c r="C2">
        <f>VLOOKUP(B2,$A$11:$F$16,5,FALSE)</f>
        <v>200</v>
      </c>
      <c r="D2">
        <f>C2*0.7</f>
        <v>140</v>
      </c>
      <c r="E2">
        <f>VLOOKUP(A2,$C$12:$D$15,2,FALSE)</f>
        <v>32000</v>
      </c>
      <c r="F2" s="33">
        <f>E2*D2</f>
        <v>4480000</v>
      </c>
      <c r="G2" s="26">
        <f>VLOOKUP(A2,C$11:F$16,4,FALSE)</f>
        <v>12</v>
      </c>
      <c r="H2" s="15">
        <f>F2*G2</f>
        <v>53760000</v>
      </c>
      <c r="I2" s="27">
        <f>VLOOKUP(A12,'Estimated Budget'!$A$2:$F$6,6,FALSE)</f>
        <v>70800000</v>
      </c>
      <c r="J2" s="15">
        <f>I2-H2</f>
        <v>17040000</v>
      </c>
      <c r="K2" t="str">
        <f>IF(J2&lt;0,"Profit",IF(J2&gt;0,"Loss","Breakeven"))</f>
        <v>Loss</v>
      </c>
    </row>
    <row r="3" spans="1:11" x14ac:dyDescent="0.25">
      <c r="A3" t="s">
        <v>36</v>
      </c>
      <c r="B3" s="28" t="s">
        <v>14</v>
      </c>
      <c r="C3">
        <f>VLOOKUP(B3,$A$11:$F$16,5,FALSE)</f>
        <v>400</v>
      </c>
      <c r="D3">
        <f>C3*0.7</f>
        <v>280</v>
      </c>
      <c r="E3">
        <f>VLOOKUP(A3,$C$12:$D$15,2,FALSE)</f>
        <v>32000</v>
      </c>
      <c r="F3" s="33">
        <f t="shared" ref="F3:F6" si="0">E3*D3</f>
        <v>8960000</v>
      </c>
      <c r="G3" s="26">
        <f>VLOOKUP(A3,C$11:F$16,4,FALSE)</f>
        <v>12</v>
      </c>
      <c r="H3" s="15">
        <f t="shared" ref="H3:H6" si="1">F3*G3</f>
        <v>107520000</v>
      </c>
      <c r="I3" s="27">
        <f>VLOOKUP(A13,'Estimated Budget'!$A$2:$F$6,6,FALSE)</f>
        <v>73800000</v>
      </c>
      <c r="J3" s="15">
        <f t="shared" ref="J3:J6" si="2">I3-H3</f>
        <v>-33720000</v>
      </c>
      <c r="K3" t="str">
        <f t="shared" ref="K3:K6" si="3">IF(J3&lt;0,"Profit",IF(J3&gt;0,"Loss","Breakeven"))</f>
        <v>Profit</v>
      </c>
    </row>
    <row r="4" spans="1:11" x14ac:dyDescent="0.25">
      <c r="A4" t="s">
        <v>36</v>
      </c>
      <c r="B4" s="28" t="s">
        <v>15</v>
      </c>
      <c r="C4">
        <f>VLOOKUP(B4,$A$11:$F$16,5,FALSE)</f>
        <v>600</v>
      </c>
      <c r="D4">
        <f>C4*0.7</f>
        <v>420</v>
      </c>
      <c r="E4">
        <f>VLOOKUP(A4,$C$12:$D$15,2,FALSE)</f>
        <v>32000</v>
      </c>
      <c r="F4" s="33">
        <f t="shared" si="0"/>
        <v>13440000</v>
      </c>
      <c r="G4" s="26">
        <f>VLOOKUP(A4,C$11:F$16,4,FALSE)</f>
        <v>12</v>
      </c>
      <c r="H4" s="15">
        <f t="shared" si="1"/>
        <v>161280000</v>
      </c>
      <c r="I4" s="27">
        <f>VLOOKUP(A14,'Estimated Budget'!$A$2:$F$6,6,FALSE)</f>
        <v>79800000</v>
      </c>
      <c r="J4" s="15">
        <f t="shared" si="2"/>
        <v>-81480000</v>
      </c>
      <c r="K4" t="str">
        <f t="shared" si="3"/>
        <v>Profit</v>
      </c>
    </row>
    <row r="5" spans="1:11" x14ac:dyDescent="0.25">
      <c r="A5" t="s">
        <v>36</v>
      </c>
      <c r="B5" s="29" t="s">
        <v>9</v>
      </c>
      <c r="C5">
        <f>VLOOKUP(B5,$A$11:$F$16,5,FALSE)</f>
        <v>200</v>
      </c>
      <c r="D5">
        <f>C5*0.7</f>
        <v>140</v>
      </c>
      <c r="E5">
        <f>VLOOKUP(A5,$C$12:$D$15,2,FALSE)</f>
        <v>32000</v>
      </c>
      <c r="F5" s="33">
        <f t="shared" si="0"/>
        <v>4480000</v>
      </c>
      <c r="G5" s="26">
        <f>VLOOKUP(A5,C$11:F$16,4,FALSE)</f>
        <v>12</v>
      </c>
      <c r="H5" s="15">
        <f t="shared" si="1"/>
        <v>53760000</v>
      </c>
      <c r="I5" s="27">
        <f>VLOOKUP(A15,'Estimated Budget'!$A$2:$F$6,6,FALSE)</f>
        <v>67800000</v>
      </c>
      <c r="J5" s="15">
        <f t="shared" si="2"/>
        <v>14040000</v>
      </c>
      <c r="K5" t="str">
        <f t="shared" si="3"/>
        <v>Loss</v>
      </c>
    </row>
    <row r="6" spans="1:11" x14ac:dyDescent="0.25">
      <c r="A6" t="s">
        <v>36</v>
      </c>
      <c r="B6" s="29" t="s">
        <v>11</v>
      </c>
      <c r="C6">
        <f>VLOOKUP(B6,$A$11:$F$16,5,FALSE)</f>
        <v>1000</v>
      </c>
      <c r="D6">
        <f>C6*0.7</f>
        <v>700</v>
      </c>
      <c r="E6">
        <f>VLOOKUP(A6,$C$12:$D$15,2,FALSE)</f>
        <v>32000</v>
      </c>
      <c r="F6" s="33">
        <f t="shared" si="0"/>
        <v>22400000</v>
      </c>
      <c r="G6" s="26">
        <f>VLOOKUP(A6,C$11:F$16,4,FALSE)</f>
        <v>12</v>
      </c>
      <c r="H6" s="15">
        <f t="shared" si="1"/>
        <v>268800000</v>
      </c>
      <c r="I6" s="27">
        <f>VLOOKUP(A16,'Estimated Budget'!$A$2:$F$6,6,FALSE)</f>
        <v>187800000</v>
      </c>
      <c r="J6" s="15">
        <f t="shared" si="2"/>
        <v>-81000000</v>
      </c>
      <c r="K6" t="str">
        <f t="shared" si="3"/>
        <v>Profit</v>
      </c>
    </row>
    <row r="10" spans="1:11" x14ac:dyDescent="0.25">
      <c r="A10" s="8" t="s">
        <v>31</v>
      </c>
    </row>
    <row r="11" spans="1:11" x14ac:dyDescent="0.25">
      <c r="A11" s="25" t="s">
        <v>0</v>
      </c>
      <c r="B11" s="25" t="s">
        <v>44</v>
      </c>
      <c r="C11" s="12" t="s">
        <v>32</v>
      </c>
      <c r="D11" s="12" t="s">
        <v>33</v>
      </c>
      <c r="E11" s="12" t="s">
        <v>34</v>
      </c>
      <c r="F11" s="12" t="s">
        <v>48</v>
      </c>
    </row>
    <row r="12" spans="1:11" x14ac:dyDescent="0.25">
      <c r="A12" s="30" t="s">
        <v>13</v>
      </c>
      <c r="B12" s="34">
        <f>I2</f>
        <v>70800000</v>
      </c>
      <c r="C12" s="5" t="s">
        <v>36</v>
      </c>
      <c r="D12" s="32">
        <v>32000</v>
      </c>
      <c r="E12" s="2">
        <v>200</v>
      </c>
      <c r="F12" s="2">
        <v>12</v>
      </c>
    </row>
    <row r="13" spans="1:11" x14ac:dyDescent="0.25">
      <c r="A13" s="30" t="s">
        <v>14</v>
      </c>
      <c r="B13" s="34">
        <f t="shared" ref="B13:B16" si="4">I3</f>
        <v>73800000</v>
      </c>
      <c r="C13" s="5" t="s">
        <v>37</v>
      </c>
      <c r="D13" s="32">
        <v>25000</v>
      </c>
      <c r="E13" s="2">
        <v>400</v>
      </c>
      <c r="F13" s="2"/>
    </row>
    <row r="14" spans="1:11" x14ac:dyDescent="0.25">
      <c r="A14" s="30" t="s">
        <v>15</v>
      </c>
      <c r="B14" s="34">
        <f t="shared" si="4"/>
        <v>79800000</v>
      </c>
      <c r="C14" s="5" t="s">
        <v>38</v>
      </c>
      <c r="D14" s="32">
        <v>20000</v>
      </c>
      <c r="E14" s="2">
        <v>600</v>
      </c>
      <c r="F14" s="2"/>
    </row>
    <row r="15" spans="1:11" x14ac:dyDescent="0.25">
      <c r="A15" s="31" t="s">
        <v>9</v>
      </c>
      <c r="B15" s="34">
        <f t="shared" si="4"/>
        <v>67800000</v>
      </c>
      <c r="C15" s="2" t="s">
        <v>47</v>
      </c>
      <c r="D15" s="5" t="s">
        <v>47</v>
      </c>
      <c r="E15" s="2">
        <v>200</v>
      </c>
      <c r="F15" s="2"/>
    </row>
    <row r="16" spans="1:11" x14ac:dyDescent="0.25">
      <c r="A16" s="31" t="s">
        <v>11</v>
      </c>
      <c r="B16" s="34">
        <f t="shared" si="4"/>
        <v>187800000</v>
      </c>
      <c r="C16" s="2" t="s">
        <v>47</v>
      </c>
      <c r="D16" s="2" t="s">
        <v>47</v>
      </c>
      <c r="E16" s="5">
        <v>1000</v>
      </c>
      <c r="F16" s="2"/>
    </row>
  </sheetData>
  <phoneticPr fontId="3" type="noConversion"/>
  <conditionalFormatting sqref="K2:K6">
    <cfRule type="containsText" dxfId="1" priority="1" operator="containsText" text="Loss">
      <formula>NOT(ISERROR(SEARCH("Loss",K2)))</formula>
    </cfRule>
    <cfRule type="containsText" dxfId="0" priority="2" operator="containsText" text="Profit">
      <formula>NOT(ISERROR(SEARCH("Profit",K2)))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 Budget</vt:lpstr>
      <vt:lpstr>Summary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Ephraim</dc:creator>
  <cp:lastModifiedBy>Deborah Ephraim</cp:lastModifiedBy>
  <dcterms:created xsi:type="dcterms:W3CDTF">2026-08-20T22:02:15Z</dcterms:created>
  <dcterms:modified xsi:type="dcterms:W3CDTF">2026-08-20T23:52:09Z</dcterms:modified>
</cp:coreProperties>
</file>